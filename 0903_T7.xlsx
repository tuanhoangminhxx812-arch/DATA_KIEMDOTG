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Unpaired" sheetId="1" state="visible" r:id="rId1"/>
    <sheet xmlns:r="http://schemas.openxmlformats.org/officeDocument/2006/relationships" name="DoiChieu_TKTG" sheetId="2" state="visible" r:id="rId2"/>
    <sheet xmlns:r="http://schemas.openxmlformats.org/officeDocument/2006/relationships" name="ChiTiet_GiaoDich_Le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4">
    <font>
      <name val="Calibri"/>
      <family val="2"/>
      <color theme="1"/>
      <sz val="11"/>
      <scheme val="minor"/>
    </font>
    <font>
      <name val="Segoe UI"/>
      <b val="1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000000"/>
      <sz val="11"/>
    </font>
    <font>
      <name val="Segoe UI"/>
      <b val="1"/>
      <color rgb="00002060"/>
      <sz val="12"/>
    </font>
    <font>
      <name val="Segoe UI"/>
      <b val="1"/>
      <color rgb="001B365D"/>
      <sz val="12"/>
    </font>
    <font>
      <name val="Segoe UI"/>
      <b val="1"/>
      <color rgb="00FFFFFF"/>
      <sz val="11"/>
    </font>
    <font>
      <name val="Segoe UI"/>
      <color rgb="00000000"/>
      <sz val="11"/>
    </font>
    <font>
      <name val="Segoe UI"/>
      <b val="1"/>
      <color rgb="00375623"/>
      <sz val="11"/>
    </font>
    <font>
      <name val="Segoe UI"/>
      <b val="1"/>
      <color rgb="00C00000"/>
      <sz val="11"/>
    </font>
    <font>
      <name val="Segoe UI"/>
      <b val="1"/>
      <color rgb="001B365D"/>
      <sz val="11"/>
    </font>
    <font>
      <name val="Segoe UI"/>
      <b val="1"/>
      <color rgb="00FFFFFF"/>
      <sz val="12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E2EFDA"/>
        <bgColor rgb="00E2EFDA"/>
      </patternFill>
    </fill>
    <fill>
      <patternFill patternType="solid">
        <fgColor rgb="00DCE6F1"/>
        <bgColor rgb="00DCE6F1"/>
      </patternFill>
    </fill>
    <fill>
      <patternFill patternType="solid">
        <fgColor rgb="001F497D"/>
        <bgColor rgb="001F497D"/>
      </patternFill>
    </fill>
    <fill>
      <patternFill patternType="solid">
        <fgColor rgb="00FCE4D6"/>
        <bgColor rgb="00FCE4D6"/>
      </patternFill>
    </fill>
    <fill>
      <patternFill patternType="solid">
        <fgColor rgb="00F2F5F8"/>
        <bgColor rgb="00F2F5F8"/>
      </patternFill>
    </fill>
    <fill>
      <patternFill patternType="solid">
        <fgColor rgb="004F81BD"/>
        <bgColor rgb="004F81BD"/>
      </patternFill>
    </fill>
  </fills>
  <borders count="5">
    <border>
      <left/>
      <right/>
      <top/>
      <bottom/>
      <diagonal/>
    </border>
    <border>
      <bottom style="medium">
        <color rgb="00548235"/>
      </bottom>
    </border>
    <border>
      <left style="medium">
        <color rgb="001F497D"/>
      </left>
      <right style="medium">
        <color rgb="001F497D"/>
      </right>
      <top style="medium">
        <color rgb="001F497D"/>
      </top>
      <bottom style="medium">
        <color rgb="001F497D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3" applyAlignment="1" pivotButton="0" quotePrefix="0" xfId="0">
      <alignment horizontal="center" vertical="center" wrapText="1"/>
    </xf>
    <xf numFmtId="0" fontId="4" fillId="0" borderId="3" pivotButton="0" quotePrefix="0" xfId="0"/>
    <xf numFmtId="3" fontId="8" fillId="0" borderId="3" pivotButton="0" quotePrefix="0" xfId="0"/>
    <xf numFmtId="3" fontId="4" fillId="0" borderId="3" pivotButton="0" quotePrefix="0" xfId="0"/>
    <xf numFmtId="0" fontId="9" fillId="2" borderId="3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3" fontId="10" fillId="5" borderId="3" pivotButton="0" quotePrefix="0" xfId="0"/>
    <xf numFmtId="0" fontId="10" fillId="5" borderId="3" applyAlignment="1" pivotButton="0" quotePrefix="0" xfId="0">
      <alignment horizontal="center"/>
    </xf>
    <xf numFmtId="0" fontId="4" fillId="6" borderId="4" pivotButton="0" quotePrefix="0" xfId="0"/>
    <xf numFmtId="3" fontId="4" fillId="6" borderId="4" pivotButton="0" quotePrefix="0" xfId="0"/>
    <xf numFmtId="0" fontId="4" fillId="6" borderId="4" applyAlignment="1" pivotButton="0" quotePrefix="0" xfId="0">
      <alignment horizontal="center"/>
    </xf>
    <xf numFmtId="0" fontId="11" fillId="0" borderId="0" pivotButton="0" quotePrefix="0" xfId="0"/>
    <xf numFmtId="0" fontId="12" fillId="4" borderId="0" applyAlignment="1" pivotButton="0" quotePrefix="0" xfId="0">
      <alignment vertical="center" indent="1"/>
    </xf>
    <xf numFmtId="0" fontId="13" fillId="7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165" fontId="8" fillId="0" borderId="3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6" borderId="4" pivotButton="0" quotePrefix="0" xfId="0"/>
    <xf numFmtId="0" fontId="4" fillId="6" borderId="4" applyAlignment="1" pivotButton="0" quotePrefix="0" xfId="0">
      <alignment horizontal="right"/>
    </xf>
    <xf numFmtId="3" fontId="10" fillId="6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40" customWidth="1" min="7" max="7"/>
    <col width="15" customWidth="1" min="8" max="8"/>
    <col width="25" customWidth="1" min="9" max="9"/>
  </cols>
  <sheetData>
    <row r="1">
      <c r="A1" s="1" t="inlineStr">
        <is>
          <t>Tài khoản</t>
        </is>
      </c>
      <c r="B1" s="1" t="inlineStr">
        <is>
          <t>Người tạo</t>
        </is>
      </c>
      <c r="C1" s="1" t="inlineStr">
        <is>
          <t>Nợ quy đổi</t>
        </is>
      </c>
      <c r="D1" s="1" t="inlineStr">
        <is>
          <t>Có quy đổi</t>
        </is>
      </c>
      <c r="E1" s="1" t="inlineStr">
        <is>
          <t>Số giao dịch</t>
        </is>
      </c>
      <c r="F1" s="1" t="inlineStr">
        <is>
          <t>Ngày giao dịch</t>
        </is>
      </c>
      <c r="G1" s="1" t="inlineStr">
        <is>
          <t>Nội dung</t>
        </is>
      </c>
      <c r="H1" s="1" t="inlineStr">
        <is>
          <t>Dòng gốc (Row)</t>
        </is>
      </c>
      <c r="I1" s="1" t="inlineStr">
        <is>
          <t>Người cập nhật</t>
        </is>
      </c>
    </row>
    <row r="2">
      <c r="A2" t="inlineStr">
        <is>
          <t>33193000000</t>
        </is>
      </c>
      <c r="B2" t="inlineStr">
        <is>
          <t>DIEULX.HCM.VTA</t>
        </is>
      </c>
      <c r="C2" t="n">
        <v>0</v>
      </c>
      <c r="D2" t="n">
        <v>21</v>
      </c>
      <c r="E2" t="inlineStr">
        <is>
          <t>01.VH4.17.0023</t>
        </is>
      </c>
      <c r="F2" s="2" t="n">
        <v>46227</v>
      </c>
      <c r="G2" t="inlineStr">
        <is>
          <t>Nhập điều động VTTB từ PC Đất Đỏ theo CV:3760PCVT-KHVT ngày 14/07/2026+ CV:3974/PCVT-KHVT ngày 24/07/2026 + PGH:03.VG4.57.0014+03.VG4.57.0015</t>
        </is>
      </c>
      <c r="H2" t="n">
        <v>902</v>
      </c>
      <c r="I2" t="inlineStr">
        <is>
          <t>SYSADMIN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20" customWidth="1" min="3" max="3"/>
    <col width="18" customWidth="1" min="4" max="4"/>
    <col width="18" customWidth="1" min="5" max="5"/>
    <col width="15" customWidth="1" min="6" max="6"/>
    <col width="3" customWidth="1" min="7" max="7"/>
    <col width="25" customWidth="1" min="8" max="8"/>
    <col width="18" customWidth="1" min="9" max="9"/>
    <col width="18" customWidth="1" min="10" max="10"/>
    <col width="18" customWidth="1" min="11" max="11"/>
    <col width="15" customWidth="1" min="12" max="12"/>
  </cols>
  <sheetData>
    <row r="2" ht="25" customHeight="1">
      <c r="B2" s="3" t="inlineStr">
        <is>
          <t>ĐỐI CHIẾU SỐ LIỆU TÀI KHOẢN TRUNG GIAN - ERP</t>
        </is>
      </c>
    </row>
    <row r="3">
      <c r="B3" s="4" t="inlineStr">
        <is>
          <t>Phân tích tự động số lệch chênh lệch Nợ/Có và truy tìm Người tạo phát sinh lệch</t>
        </is>
      </c>
    </row>
    <row r="5" ht="28" customHeight="1">
      <c r="B5" s="5" t="inlineStr">
        <is>
          <t>Chọn tài khoản đối chiếu:</t>
        </is>
      </c>
      <c r="C5" s="6" t="inlineStr">
        <is>
          <t>33191000000</t>
        </is>
      </c>
    </row>
    <row r="7">
      <c r="B7" s="7" t="inlineStr">
        <is>
          <t>BẢNG TỔNG HỢP PHÁT SINH LỆCH</t>
        </is>
      </c>
      <c r="H7" s="7" t="inlineStr">
        <is>
          <t>BẢNG TRA CỨU NGƯỜI LÀM LỆCH (ĐỘNG THEO Ô CHỌN C5)</t>
        </is>
      </c>
    </row>
    <row r="8" ht="26" customHeight="1">
      <c r="B8" s="8" t="inlineStr">
        <is>
          <t>Tài khoản</t>
        </is>
      </c>
      <c r="C8" s="8" t="inlineStr">
        <is>
          <t>Tổng Phát sinh Nợ</t>
        </is>
      </c>
      <c r="D8" s="8" t="inlineStr">
        <is>
          <t>Tổng Phát sinh Có</t>
        </is>
      </c>
      <c r="E8" s="8" t="inlineStr">
        <is>
          <t>Chênh lệch (Nợ-Có)</t>
        </is>
      </c>
      <c r="F8" s="8" t="inlineStr">
        <is>
          <t>Trạng thái</t>
        </is>
      </c>
      <c r="H8" s="8" t="inlineStr">
        <is>
          <t>Người tạo (Creator)</t>
        </is>
      </c>
      <c r="I8" s="8" t="inlineStr">
        <is>
          <t>Tổng Phát sinh Nợ</t>
        </is>
      </c>
      <c r="J8" s="8" t="inlineStr">
        <is>
          <t>Tổng Phát sinh Có</t>
        </is>
      </c>
      <c r="K8" s="8" t="inlineStr">
        <is>
          <t>Chênh lệch (Nợ-Có)</t>
        </is>
      </c>
      <c r="L8" s="8" t="inlineStr">
        <is>
          <t>Trạng thái</t>
        </is>
      </c>
    </row>
    <row r="9" ht="20" customHeight="1">
      <c r="B9" s="9" t="inlineStr">
        <is>
          <t>11310000000</t>
        </is>
      </c>
      <c r="C9" s="10" t="n">
        <v>0</v>
      </c>
      <c r="D9" s="10" t="n">
        <v>0</v>
      </c>
      <c r="E9" s="11">
        <f>C9-D9</f>
        <v/>
      </c>
      <c r="F9" s="12">
        <f>IF(ROUND(E9,2)=0, "Khớp", "Lệch số")</f>
        <v/>
      </c>
      <c r="H9" s="9" t="inlineStr">
        <is>
          <t>CHAULTN.HCM.VTA</t>
        </is>
      </c>
      <c r="I9" s="10">
        <f>SUMIFS(Data_Unpaired!C:C, Data_Unpaired!A:A, $C$5, Data_Unpaired!B:B, H9)</f>
        <v/>
      </c>
      <c r="J9" s="10">
        <f>SUMIFS(Data_Unpaired!D:D, Data_Unpaired!A:A, $C$5, Data_Unpaired!B:B, H9)</f>
        <v/>
      </c>
      <c r="K9" s="11">
        <f>I9-J9</f>
        <v/>
      </c>
      <c r="L9" s="13">
        <f>IF(AND(I9=0,J9=0), "", IF(ROUND(K9,2)=0, "Khớp", "Lệch số"))</f>
        <v/>
      </c>
    </row>
    <row r="10" ht="20" customHeight="1">
      <c r="B10" s="9" t="inlineStr">
        <is>
          <t>14190000000</t>
        </is>
      </c>
      <c r="C10" s="10" t="n">
        <v>0</v>
      </c>
      <c r="D10" s="10" t="n">
        <v>0</v>
      </c>
      <c r="E10" s="11">
        <f>C10-D10</f>
        <v/>
      </c>
      <c r="F10" s="12">
        <f>IF(ROUND(E10,2)=0, "Khớp", "Lệch số")</f>
        <v/>
      </c>
      <c r="H10" s="9" t="inlineStr">
        <is>
          <t>DIEULX.HCM.VTA</t>
        </is>
      </c>
      <c r="I10" s="10">
        <f>SUMIFS(Data_Unpaired!C:C, Data_Unpaired!A:A, $C$5, Data_Unpaired!B:B, H10)</f>
        <v/>
      </c>
      <c r="J10" s="10">
        <f>SUMIFS(Data_Unpaired!D:D, Data_Unpaired!A:A, $C$5, Data_Unpaired!B:B, H10)</f>
        <v/>
      </c>
      <c r="K10" s="11">
        <f>I10-J10</f>
        <v/>
      </c>
      <c r="L10" s="13">
        <f>IF(AND(I10=0,J10=0), "", IF(ROUND(K10,2)=0, "Khớp", "Lệch số"))</f>
        <v/>
      </c>
    </row>
    <row r="11" ht="20" customHeight="1">
      <c r="B11" s="9" t="inlineStr">
        <is>
          <t>15110000000</t>
        </is>
      </c>
      <c r="C11" s="10" t="n">
        <v>0</v>
      </c>
      <c r="D11" s="10" t="n">
        <v>0</v>
      </c>
      <c r="E11" s="11">
        <f>C11-D11</f>
        <v/>
      </c>
      <c r="F11" s="12">
        <f>IF(ROUND(E11,2)=0, "Khớp", "Lệch số")</f>
        <v/>
      </c>
      <c r="H11" s="9" t="inlineStr">
        <is>
          <t>DUNGLTP.HCM.VTA</t>
        </is>
      </c>
      <c r="I11" s="10">
        <f>SUMIFS(Data_Unpaired!C:C, Data_Unpaired!A:A, $C$5, Data_Unpaired!B:B, H11)</f>
        <v/>
      </c>
      <c r="J11" s="10">
        <f>SUMIFS(Data_Unpaired!D:D, Data_Unpaired!A:A, $C$5, Data_Unpaired!B:B, H11)</f>
        <v/>
      </c>
      <c r="K11" s="11">
        <f>I11-J11</f>
        <v/>
      </c>
      <c r="L11" s="13">
        <f>IF(AND(I11=0,J11=0), "", IF(ROUND(K11,2)=0, "Khớp", "Lệch số"))</f>
        <v/>
      </c>
    </row>
    <row r="12" ht="20" customHeight="1">
      <c r="B12" s="9" t="inlineStr">
        <is>
          <t>15190000000</t>
        </is>
      </c>
      <c r="C12" s="10" t="n">
        <v>0</v>
      </c>
      <c r="D12" s="10" t="n">
        <v>0</v>
      </c>
      <c r="E12" s="11">
        <f>C12-D12</f>
        <v/>
      </c>
      <c r="F12" s="12">
        <f>IF(ROUND(E12,2)=0, "Khớp", "Lệch số")</f>
        <v/>
      </c>
      <c r="H12" s="9" t="inlineStr">
        <is>
          <t>HA2TTT.HCM.VTA</t>
        </is>
      </c>
      <c r="I12" s="10">
        <f>SUMIFS(Data_Unpaired!C:C, Data_Unpaired!A:A, $C$5, Data_Unpaired!B:B, H12)</f>
        <v/>
      </c>
      <c r="J12" s="10">
        <f>SUMIFS(Data_Unpaired!D:D, Data_Unpaired!A:A, $C$5, Data_Unpaired!B:B, H12)</f>
        <v/>
      </c>
      <c r="K12" s="11">
        <f>I12-J12</f>
        <v/>
      </c>
      <c r="L12" s="13">
        <f>IF(AND(I12=0,J12=0), "", IF(ROUND(K12,2)=0, "Khớp", "Lệch số"))</f>
        <v/>
      </c>
    </row>
    <row r="13" ht="20" customHeight="1">
      <c r="B13" s="9" t="inlineStr">
        <is>
          <t>24190000000</t>
        </is>
      </c>
      <c r="C13" s="10" t="n">
        <v>0</v>
      </c>
      <c r="D13" s="10" t="n">
        <v>0</v>
      </c>
      <c r="E13" s="11">
        <f>C13-D13</f>
        <v/>
      </c>
      <c r="F13" s="12">
        <f>IF(ROUND(E13,2)=0, "Khớp", "Lệch số")</f>
        <v/>
      </c>
      <c r="H13" s="9" t="inlineStr">
        <is>
          <t>HIENNTK.HCM.VTA</t>
        </is>
      </c>
      <c r="I13" s="10">
        <f>SUMIFS(Data_Unpaired!C:C, Data_Unpaired!A:A, $C$5, Data_Unpaired!B:B, H13)</f>
        <v/>
      </c>
      <c r="J13" s="10">
        <f>SUMIFS(Data_Unpaired!D:D, Data_Unpaired!A:A, $C$5, Data_Unpaired!B:B, H13)</f>
        <v/>
      </c>
      <c r="K13" s="11">
        <f>I13-J13</f>
        <v/>
      </c>
      <c r="L13" s="13">
        <f>IF(AND(I13=0,J13=0), "", IF(ROUND(K13,2)=0, "Khớp", "Lệch số"))</f>
        <v/>
      </c>
    </row>
    <row r="14" ht="20" customHeight="1">
      <c r="B14" s="9" t="inlineStr">
        <is>
          <t>33191000000</t>
        </is>
      </c>
      <c r="C14" s="10" t="n">
        <v>0</v>
      </c>
      <c r="D14" s="10" t="n">
        <v>0</v>
      </c>
      <c r="E14" s="11">
        <f>C14-D14</f>
        <v/>
      </c>
      <c r="F14" s="12">
        <f>IF(ROUND(E14,2)=0, "Khớp", "Lệch số")</f>
        <v/>
      </c>
      <c r="H14" s="9" t="inlineStr">
        <is>
          <t>HUENT.HCM.VTA</t>
        </is>
      </c>
      <c r="I14" s="10">
        <f>SUMIFS(Data_Unpaired!C:C, Data_Unpaired!A:A, $C$5, Data_Unpaired!B:B, H14)</f>
        <v/>
      </c>
      <c r="J14" s="10">
        <f>SUMIFS(Data_Unpaired!D:D, Data_Unpaired!A:A, $C$5, Data_Unpaired!B:B, H14)</f>
        <v/>
      </c>
      <c r="K14" s="11">
        <f>I14-J14</f>
        <v/>
      </c>
      <c r="L14" s="13">
        <f>IF(AND(I14=0,J14=0), "", IF(ROUND(K14,2)=0, "Khớp", "Lệch số"))</f>
        <v/>
      </c>
    </row>
    <row r="15" ht="20" customHeight="1">
      <c r="B15" s="9" t="inlineStr">
        <is>
          <t>33192000000</t>
        </is>
      </c>
      <c r="C15" s="10" t="n">
        <v>0</v>
      </c>
      <c r="D15" s="10" t="n">
        <v>0</v>
      </c>
      <c r="E15" s="11">
        <f>C15-D15</f>
        <v/>
      </c>
      <c r="F15" s="12">
        <f>IF(ROUND(E15,2)=0, "Khớp", "Lệch số")</f>
        <v/>
      </c>
      <c r="H15" s="9" t="inlineStr">
        <is>
          <t>KHANH2LQ.HCM.VTA</t>
        </is>
      </c>
      <c r="I15" s="10">
        <f>SUMIFS(Data_Unpaired!C:C, Data_Unpaired!A:A, $C$5, Data_Unpaired!B:B, H15)</f>
        <v/>
      </c>
      <c r="J15" s="10">
        <f>SUMIFS(Data_Unpaired!D:D, Data_Unpaired!A:A, $C$5, Data_Unpaired!B:B, H15)</f>
        <v/>
      </c>
      <c r="K15" s="11">
        <f>I15-J15</f>
        <v/>
      </c>
      <c r="L15" s="13">
        <f>IF(AND(I15=0,J15=0), "", IF(ROUND(K15,2)=0, "Khớp", "Lệch số"))</f>
        <v/>
      </c>
    </row>
    <row r="16" ht="20" customHeight="1">
      <c r="B16" s="9" t="inlineStr">
        <is>
          <t>33193000000</t>
        </is>
      </c>
      <c r="C16" s="10" t="n">
        <v>448</v>
      </c>
      <c r="D16" s="10" t="n">
        <v>469</v>
      </c>
      <c r="E16" s="14">
        <f>C16-D16</f>
        <v/>
      </c>
      <c r="F16" s="15">
        <f>IF(ROUND(E16,2)=0, "Khớp", "Lệch số")</f>
        <v/>
      </c>
      <c r="H16" s="9" t="inlineStr">
        <is>
          <t>LINH3NTT.HCM.VTA</t>
        </is>
      </c>
      <c r="I16" s="10">
        <f>SUMIFS(Data_Unpaired!C:C, Data_Unpaired!A:A, $C$5, Data_Unpaired!B:B, H16)</f>
        <v/>
      </c>
      <c r="J16" s="10">
        <f>SUMIFS(Data_Unpaired!D:D, Data_Unpaired!A:A, $C$5, Data_Unpaired!B:B, H16)</f>
        <v/>
      </c>
      <c r="K16" s="11">
        <f>I16-J16</f>
        <v/>
      </c>
      <c r="L16" s="13">
        <f>IF(AND(I16=0,J16=0), "", IF(ROUND(K16,2)=0, "Khớp", "Lệch số"))</f>
        <v/>
      </c>
    </row>
    <row r="17" ht="20" customHeight="1">
      <c r="B17" s="9" t="inlineStr">
        <is>
          <t>33194000000</t>
        </is>
      </c>
      <c r="C17" s="10" t="n">
        <v>0</v>
      </c>
      <c r="D17" s="10" t="n">
        <v>0</v>
      </c>
      <c r="E17" s="11">
        <f>C17-D17</f>
        <v/>
      </c>
      <c r="F17" s="12">
        <f>IF(ROUND(E17,2)=0, "Khớp", "Lệch số")</f>
        <v/>
      </c>
      <c r="H17" s="9" t="inlineStr">
        <is>
          <t>OANHDTT.HCM.VTA</t>
        </is>
      </c>
      <c r="I17" s="10">
        <f>SUMIFS(Data_Unpaired!C:C, Data_Unpaired!A:A, $C$5, Data_Unpaired!B:B, H17)</f>
        <v/>
      </c>
      <c r="J17" s="10">
        <f>SUMIFS(Data_Unpaired!D:D, Data_Unpaired!A:A, $C$5, Data_Unpaired!B:B, H17)</f>
        <v/>
      </c>
      <c r="K17" s="11">
        <f>I17-J17</f>
        <v/>
      </c>
      <c r="L17" s="13">
        <f>IF(AND(I17=0,J17=0), "", IF(ROUND(K17,2)=0, "Khớp", "Lệch số"))</f>
        <v/>
      </c>
    </row>
    <row r="18" ht="20" customHeight="1">
      <c r="B18" s="9" t="inlineStr">
        <is>
          <t>33195000000</t>
        </is>
      </c>
      <c r="C18" s="10" t="n">
        <v>0</v>
      </c>
      <c r="D18" s="10" t="n">
        <v>0</v>
      </c>
      <c r="E18" s="11">
        <f>C18-D18</f>
        <v/>
      </c>
      <c r="F18" s="12">
        <f>IF(ROUND(E18,2)=0, "Khớp", "Lệch số")</f>
        <v/>
      </c>
      <c r="H18" s="9" t="inlineStr">
        <is>
          <t>QUYENNN.HCM.VTA</t>
        </is>
      </c>
      <c r="I18" s="10">
        <f>SUMIFS(Data_Unpaired!C:C, Data_Unpaired!A:A, $C$5, Data_Unpaired!B:B, H18)</f>
        <v/>
      </c>
      <c r="J18" s="10">
        <f>SUMIFS(Data_Unpaired!D:D, Data_Unpaired!A:A, $C$5, Data_Unpaired!B:B, H18)</f>
        <v/>
      </c>
      <c r="K18" s="11">
        <f>I18-J18</f>
        <v/>
      </c>
      <c r="L18" s="13">
        <f>IF(AND(I18=0,J18=0), "", IF(ROUND(K18,2)=0, "Khớp", "Lệch số"))</f>
        <v/>
      </c>
    </row>
    <row r="19" ht="20" customHeight="1">
      <c r="B19" s="9" t="inlineStr">
        <is>
          <t>33196100000</t>
        </is>
      </c>
      <c r="C19" s="10" t="n">
        <v>0</v>
      </c>
      <c r="D19" s="10" t="n">
        <v>0</v>
      </c>
      <c r="E19" s="11">
        <f>C19-D19</f>
        <v/>
      </c>
      <c r="F19" s="12">
        <f>IF(ROUND(E19,2)=0, "Khớp", "Lệch số")</f>
        <v/>
      </c>
      <c r="H19" s="9" t="inlineStr">
        <is>
          <t>SATTN.HCM.VTA</t>
        </is>
      </c>
      <c r="I19" s="10">
        <f>SUMIFS(Data_Unpaired!C:C, Data_Unpaired!A:A, $C$5, Data_Unpaired!B:B, H19)</f>
        <v/>
      </c>
      <c r="J19" s="10">
        <f>SUMIFS(Data_Unpaired!D:D, Data_Unpaired!A:A, $C$5, Data_Unpaired!B:B, H19)</f>
        <v/>
      </c>
      <c r="K19" s="11">
        <f>I19-J19</f>
        <v/>
      </c>
      <c r="L19" s="13">
        <f>IF(AND(I19=0,J19=0), "", IF(ROUND(K19,2)=0, "Khớp", "Lệch số"))</f>
        <v/>
      </c>
    </row>
    <row r="20" ht="20" customHeight="1">
      <c r="B20" s="9" t="inlineStr">
        <is>
          <t>33198000000</t>
        </is>
      </c>
      <c r="C20" s="10" t="n">
        <v>0</v>
      </c>
      <c r="D20" s="10" t="n">
        <v>0</v>
      </c>
      <c r="E20" s="11">
        <f>C20-D20</f>
        <v/>
      </c>
      <c r="F20" s="12">
        <f>IF(ROUND(E20,2)=0, "Khớp", "Lệch số")</f>
        <v/>
      </c>
      <c r="H20" s="9" t="inlineStr">
        <is>
          <t>THANH5DT.HCM.VTA</t>
        </is>
      </c>
      <c r="I20" s="10">
        <f>SUMIFS(Data_Unpaired!C:C, Data_Unpaired!A:A, $C$5, Data_Unpaired!B:B, H20)</f>
        <v/>
      </c>
      <c r="J20" s="10">
        <f>SUMIFS(Data_Unpaired!D:D, Data_Unpaired!A:A, $C$5, Data_Unpaired!B:B, H20)</f>
        <v/>
      </c>
      <c r="K20" s="11">
        <f>I20-J20</f>
        <v/>
      </c>
      <c r="L20" s="13">
        <f>IF(AND(I20=0,J20=0), "", IF(ROUND(K20,2)=0, "Khớp", "Lệch số"))</f>
        <v/>
      </c>
    </row>
    <row r="21" ht="20" customHeight="1">
      <c r="B21" s="16" t="inlineStr">
        <is>
          <t>Tổng cộng</t>
        </is>
      </c>
      <c r="C21" s="17">
        <f>SUM(C9:C20)</f>
        <v/>
      </c>
      <c r="D21" s="17">
        <f>SUM(D9:D20)</f>
        <v/>
      </c>
      <c r="E21" s="17">
        <f>C21-D21</f>
        <v/>
      </c>
      <c r="F21" s="18">
        <f>IF(ROUND(E21,2)=0, "Khớp", "Lệch")</f>
        <v/>
      </c>
      <c r="H21" s="9" t="inlineStr">
        <is>
          <t>THAOPTT.HCM.VTA</t>
        </is>
      </c>
      <c r="I21" s="10">
        <f>SUMIFS(Data_Unpaired!C:C, Data_Unpaired!A:A, $C$5, Data_Unpaired!B:B, H21)</f>
        <v/>
      </c>
      <c r="J21" s="10">
        <f>SUMIFS(Data_Unpaired!D:D, Data_Unpaired!A:A, $C$5, Data_Unpaired!B:B, H21)</f>
        <v/>
      </c>
      <c r="K21" s="11">
        <f>I21-J21</f>
        <v/>
      </c>
      <c r="L21" s="13">
        <f>IF(AND(I21=0,J21=0), "", IF(ROUND(K21,2)=0, "Khớp", "Lệch số"))</f>
        <v/>
      </c>
    </row>
    <row r="22" ht="22" customHeight="1">
      <c r="B22" s="19" t="inlineStr">
        <is>
          <t>Hướng dẫn sử dụng:</t>
        </is>
      </c>
      <c r="H22" s="16" t="inlineStr">
        <is>
          <t>Tổng cộng</t>
        </is>
      </c>
      <c r="I22" s="17">
        <f>SUM(I9:I21)</f>
        <v/>
      </c>
      <c r="J22" s="17">
        <f>SUM(J9:J21)</f>
        <v/>
      </c>
      <c r="K22" s="17">
        <f>I22-J22</f>
        <v/>
      </c>
      <c r="L22" s="18">
        <f>IF(ROUND(K22,2)=0, "Khớp", "Lệch")</f>
        <v/>
      </c>
    </row>
    <row r="23">
      <c r="B23" s="4" t="inlineStr">
        <is>
          <t>1. Click chọn ô C5, bấm vào dấu mũi tên dropdown hiện lên và chọn tài khoản cần kiểm tra.</t>
        </is>
      </c>
    </row>
    <row r="24">
      <c r="B24" s="4" t="inlineStr">
        <is>
          <t>2. Bảng đối chiếu người tạo bên phải (Cột H -&gt; L) sẽ tự động nhảy số tiền tương ứng tài khoản chọn.</t>
        </is>
      </c>
    </row>
    <row r="25">
      <c r="B25" s="4" t="inlineStr">
        <is>
          <t>3. Xem bảng chi tiết ở sheet 'ChiTiet_GiaoDich_Lech' để tìm chính xác dòng bị lỗi để điều chỉnh.</t>
        </is>
      </c>
    </row>
  </sheetData>
  <dataValidations count="1">
    <dataValidation sqref="C5" showDropDown="0" showInputMessage="0" showErrorMessage="0" allowBlank="1" errorTitle="Lựa chọn không hợp lệ" error="Vui lòng chọn tài khoản có trong danh sách" promptTitle="Chọn tài khoản" prompt="Chọn tài khoản trung gian từ danh sách dropdown" type="list">
      <formula1>"11310000000,14190000000,15110000000,15190000000,24190000000,33191000000,33192000000,33193000000,33194000000,33195000000,33196100000,33198000000"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8" customWidth="1" min="5" max="5"/>
    <col width="18" customWidth="1" min="6" max="6"/>
    <col width="25" customWidth="1" min="7" max="7"/>
    <col width="25" customWidth="1" min="8" max="8"/>
    <col width="50" customWidth="1" min="9" max="9"/>
  </cols>
  <sheetData>
    <row r="2" ht="25" customHeight="1">
      <c r="B2" s="3" t="inlineStr">
        <is>
          <t>CHI TIẾT CÁC GIAO DỊCH CHƯA ĐỐI ỨNG (GÂY LỆCH SỐ THỰC TẾ)</t>
        </is>
      </c>
    </row>
    <row r="3">
      <c r="B3" s="4" t="inlineStr">
        <is>
          <t>Báo cáo liệt kê các giao dịch đơn lẻ bị lệch ròng, loại bỏ tất cả các giao dịch đã đối ứng tự động</t>
        </is>
      </c>
    </row>
    <row r="6" ht="26" customHeight="1">
      <c r="B6" s="20" t="inlineStr">
        <is>
          <t>TÀI KHOẢN: 33193000000 - Danh sách giao dịch làm lệch số thực tế</t>
        </is>
      </c>
    </row>
    <row r="7" ht="22" customHeight="1">
      <c r="B7" s="21" t="inlineStr">
        <is>
          <t>Dòng gốc (Row)</t>
        </is>
      </c>
      <c r="C7" s="21" t="inlineStr">
        <is>
          <t>Số chứng từ</t>
        </is>
      </c>
      <c r="D7" s="21" t="inlineStr">
        <is>
          <t>Ngày giao dịch</t>
        </is>
      </c>
      <c r="E7" s="21" t="inlineStr">
        <is>
          <t>Số tiền Nợ</t>
        </is>
      </c>
      <c r="F7" s="21" t="inlineStr">
        <is>
          <t>Số tiền Có</t>
        </is>
      </c>
      <c r="G7" s="21" t="inlineStr">
        <is>
          <t>Người tạo (Creator)</t>
        </is>
      </c>
      <c r="H7" s="21" t="inlineStr">
        <is>
          <t>Người cập nhật</t>
        </is>
      </c>
      <c r="I7" s="21" t="inlineStr">
        <is>
          <t>Nội dung giao dịch</t>
        </is>
      </c>
    </row>
    <row r="8" ht="20" customHeight="1">
      <c r="B8" s="13" t="n">
        <v>902</v>
      </c>
      <c r="C8" s="22" t="inlineStr">
        <is>
          <t>01.VH4.17.0023</t>
        </is>
      </c>
      <c r="D8" s="23" t="n">
        <v>46227</v>
      </c>
      <c r="E8" s="10" t="n">
        <v>0</v>
      </c>
      <c r="F8" s="10" t="n">
        <v>21</v>
      </c>
      <c r="G8" s="24" t="inlineStr">
        <is>
          <t>DIEULX.HCM.VTA</t>
        </is>
      </c>
      <c r="H8" s="25" t="inlineStr">
        <is>
          <t>SYSADMIN</t>
        </is>
      </c>
      <c r="I8" s="25" t="inlineStr">
        <is>
          <t>Nhập điều động VTTB từ PC Đất Đỏ theo CV:3760PCVT-KHVT ngày 14/07/2026+ CV:3974/PCVT-KHVT ngày 24/07/2026 + PGH:03.VG4.57.0014+03.VG4.57.0015</t>
        </is>
      </c>
    </row>
    <row r="9" ht="22" customHeight="1">
      <c r="B9" s="18" t="inlineStr">
        <is>
          <t>Tổng cộng chưa khớp</t>
        </is>
      </c>
      <c r="C9" s="26" t="n"/>
      <c r="D9" s="26" t="n"/>
      <c r="E9" s="17">
        <f>SUM(E8:E8)</f>
        <v/>
      </c>
      <c r="F9" s="17">
        <f>SUM(F8:F8)</f>
        <v/>
      </c>
      <c r="G9" s="27" t="inlineStr">
        <is>
          <t>Chênh lệch (Nợ-Có):</t>
        </is>
      </c>
      <c r="H9" s="28">
        <f>E9-F9</f>
        <v/>
      </c>
      <c r="I9" s="26" t="n"/>
    </row>
  </sheetData>
  <mergeCells count="1">
    <mergeCell ref="B6:I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2026-08-17T01:52:01Z</dcterms:created>
  <dcterms:modified xmlns:dcterms="http://purl.org/dc/terms/" xmlns:xsi="http://www.w3.org/2001/XMLSchema-instance" xsi:type="dcterms:W3CDTF">2026-08-17T01:52:01Z</dcterms:modified>
</cp:coreProperties>
</file>